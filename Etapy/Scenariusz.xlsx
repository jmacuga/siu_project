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zyme\Desktop\Studia\Magisterka\Semestr 2\SIU\Plansze\Etapy\"/>
    </mc:Choice>
  </mc:AlternateContent>
  <xr:revisionPtr revIDLastSave="0" documentId="13_ncr:1_{3E31F556-515F-49FF-A2B9-3E3F6F2183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G8" i="1"/>
  <c r="F8" i="1"/>
  <c r="E8" i="1"/>
  <c r="D8" i="1"/>
  <c r="C8" i="1"/>
  <c r="H7" i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  <c r="H4" i="1"/>
  <c r="G4" i="1"/>
  <c r="F4" i="1"/>
  <c r="E4" i="1"/>
  <c r="D4" i="1"/>
  <c r="C4" i="1"/>
  <c r="H3" i="1"/>
  <c r="G3" i="1"/>
  <c r="F3" i="1"/>
  <c r="E3" i="1"/>
  <c r="D3" i="1"/>
  <c r="C3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<sst xmlns="http://schemas.openxmlformats.org/spreadsheetml/2006/main" count="8" uniqueCount="8">
  <si>
    <t>id_scenariusza</t>
  </si>
  <si>
    <t>liczba_agentow</t>
  </si>
  <si>
    <t>x_min</t>
  </si>
  <si>
    <t>x_max</t>
  </si>
  <si>
    <t>y_min</t>
  </si>
  <si>
    <t>y_max</t>
  </si>
  <si>
    <t>x_g</t>
  </si>
  <si>
    <t>y_g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</si>
</sst>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8" sqref="H8"/>
    </sheetView>
  </sheetViews>
  <sheetFormatPr defaultRowHeight="14.4" x14ac:dyDescent="0.3"/>
  <cols>
    <col min="1" max="1" width="17" customWidth="1"/>
    <col min="2" max="2" width="15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>
        <f>1570/22</f>
        <v>71.36363636363636</v>
      </c>
      <c r="D2">
        <f>1770/22</f>
        <v>80.454545454545453</v>
      </c>
      <c r="E2">
        <f>490/22</f>
        <v>22.272727272727273</v>
      </c>
      <c r="F2">
        <f>590/22</f>
        <v>26.818181818181817</v>
      </c>
      <c r="G2">
        <f>1485/22</f>
        <v>67.5</v>
      </c>
      <c r="H2">
        <f>380/22</f>
        <v>17.272727272727273</v>
      </c>
    </row>
    <row r="3" spans="1:8" x14ac:dyDescent="0.3">
      <c r="A3">
        <v>1</v>
      </c>
      <c r="B3">
        <v>1</v>
      </c>
      <c r="C3">
        <f>1440/22</f>
        <v>65.454545454545453</v>
      </c>
      <c r="D3">
        <f>1520/22</f>
        <v>69.090909090909093</v>
      </c>
      <c r="E3">
        <f>320/22</f>
        <v>14.545454545454545</v>
      </c>
      <c r="F3">
        <f>430/22</f>
        <v>19.545454545454547</v>
      </c>
      <c r="G3">
        <f>1070/22</f>
        <v>48.636363636363633</v>
      </c>
      <c r="H3">
        <f>120/22</f>
        <v>5.4545454545454541</v>
      </c>
    </row>
    <row r="4" spans="1:8" x14ac:dyDescent="0.3">
      <c r="A4">
        <v>1</v>
      </c>
      <c r="B4">
        <v>1</v>
      </c>
      <c r="C4">
        <f>940/22</f>
        <v>42.727272727272727</v>
      </c>
      <c r="D4">
        <f>1125/22</f>
        <v>51.136363636363633</v>
      </c>
      <c r="E4">
        <f>70/22</f>
        <v>3.1818181818181817</v>
      </c>
      <c r="F4">
        <f>180/22</f>
        <v>8.1818181818181817</v>
      </c>
      <c r="G4">
        <f>170/22</f>
        <v>7.7272727272727275</v>
      </c>
      <c r="H4">
        <f>410/22</f>
        <v>18.636363636363637</v>
      </c>
    </row>
    <row r="5" spans="1:8" x14ac:dyDescent="0.3">
      <c r="A5">
        <v>1</v>
      </c>
      <c r="B5">
        <v>1</v>
      </c>
      <c r="C5">
        <f>120/22</f>
        <v>5.4545454545454541</v>
      </c>
      <c r="D5">
        <f>205/22</f>
        <v>9.3181818181818183</v>
      </c>
      <c r="E5">
        <f>260/22</f>
        <v>11.818181818181818</v>
      </c>
      <c r="F5">
        <f>380/22</f>
        <v>17.272727272727273</v>
      </c>
      <c r="G5">
        <f>370/22</f>
        <v>16.818181818181817</v>
      </c>
      <c r="H5">
        <f>755/22</f>
        <v>34.31818181818182</v>
      </c>
    </row>
    <row r="6" spans="1:8" x14ac:dyDescent="0.3">
      <c r="A6">
        <v>1</v>
      </c>
      <c r="B6">
        <v>1</v>
      </c>
      <c r="C6">
        <f>315/22</f>
        <v>14.318181818181818</v>
      </c>
      <c r="D6">
        <f>420/22</f>
        <v>19.09090909090909</v>
      </c>
      <c r="E6">
        <f>695/22</f>
        <v>31.59090909090909</v>
      </c>
      <c r="F6">
        <f>810/22</f>
        <v>36.81818181818182</v>
      </c>
      <c r="G6">
        <f>750/22</f>
        <v>34.090909090909093</v>
      </c>
      <c r="H6">
        <f>540/22</f>
        <v>24.545454545454547</v>
      </c>
    </row>
    <row r="7" spans="1:8" x14ac:dyDescent="0.3">
      <c r="A7">
        <v>1</v>
      </c>
      <c r="B7">
        <v>1</v>
      </c>
      <c r="C7">
        <f>670/22</f>
        <v>30.454545454545453</v>
      </c>
      <c r="D7">
        <f>840/22</f>
        <v>38.18181818181818</v>
      </c>
      <c r="E7">
        <f>490/22</f>
        <v>22.272727272727273</v>
      </c>
      <c r="F7">
        <f>595/22</f>
        <v>27.045454545454547</v>
      </c>
      <c r="G7">
        <f>1030/22</f>
        <v>46.81818181818182</v>
      </c>
      <c r="H7">
        <f>760/22</f>
        <v>34.545454545454547</v>
      </c>
    </row>
    <row r="8" spans="1:8" x14ac:dyDescent="0.3">
      <c r="A8">
        <v>1</v>
      </c>
      <c r="B8">
        <v>1</v>
      </c>
      <c r="C8">
        <f>975/22</f>
        <v>44.31818181818182</v>
      </c>
      <c r="D8">
        <f>1065/22</f>
        <v>48.409090909090907</v>
      </c>
      <c r="E8">
        <f>670/22</f>
        <v>30.454545454545453</v>
      </c>
      <c r="F8">
        <f>845/22</f>
        <v>38.409090909090907</v>
      </c>
      <c r="G8">
        <f>1490/22</f>
        <v>67.727272727272734</v>
      </c>
      <c r="H8">
        <f>690/22</f>
        <v>31.363636363636363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Spaczyński</dc:creator>
  <cp:lastModifiedBy>Spaczyński Szymon (STUD)</cp:lastModifiedBy>
  <dcterms:created xsi:type="dcterms:W3CDTF">2015-06-05T18:17:20Z</dcterms:created>
  <dcterms:modified xsi:type="dcterms:W3CDTF">2026-03-22T22:23:46Z</dcterms:modified>
</cp:coreProperties>
</file>